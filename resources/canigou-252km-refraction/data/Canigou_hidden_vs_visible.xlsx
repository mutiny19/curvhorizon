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raction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<sst xmlns="http://schemas.openxmlformats.org/spreadsheetml/2006/main" count="50" uniqueCount="50">
  <si>
    <t xml:space="preserve">Canigou → Gulf of Lion refraction analysis — pano by A. Mangiavacca, 12 Sep 2019 19:15 (k solved from the image itself)</t>
  </si>
  <si>
    <t xml:space="preserve">ASSUMPTIONS</t>
  </si>
  <si>
    <t xml:space="preserve">Earth radius R0 (m)</t>
  </si>
  <si>
    <t xml:space="preserve">WGS84 mean</t>
  </si>
  <si>
    <t xml:space="preserve">Observer height H (m ASL)</t>
  </si>
  <si>
    <t xml:space="preserve">Canigou summit 2784.66 + 1.5 m camera</t>
  </si>
  <si>
    <t xml:space="preserve">Refraction coefficient k</t>
  </si>
  <si>
    <t xml:space="preserve">Best fit to 4 photo measurements, ±0.02; std-atm forecast 0.14–0.16</t>
  </si>
  <si>
    <t xml:space="preserve">Effective radius R′ = R0/(1−k) (m)</t>
  </si>
  <si>
    <t xml:space="preserve">Horizon distance √(2R′H) (km)</t>
  </si>
  <si>
    <t xml:space="preserve">Landmark</t>
  </si>
  <si>
    <t xml:space="preserve">Lat</t>
  </si>
  <si>
    <t xml:space="preserve">Lon</t>
  </si>
  <si>
    <t xml:space="preserve">Distance D (km)</t>
  </si>
  <si>
    <t xml:space="preserve">Azimuth (°)</t>
  </si>
  <si>
    <t xml:space="preserve">Base elev (m)</t>
  </si>
  <si>
    <t xml:space="preserve">Top elev (m)</t>
  </si>
  <si>
    <t xml:space="preserve">Hidden below horizon h (m)</t>
  </si>
  <si>
    <t xml:space="preserve">Visible height of object (m)</t>
  </si>
  <si>
    <t xml:space="preserve">Hidden of object (m)</t>
  </si>
  <si>
    <t xml:space="preserve">Status at k=0.126</t>
  </si>
  <si>
    <t xml:space="preserve">Notes</t>
  </si>
  <si>
    <t xml:space="preserve">25 wind turbines, Port-St-Louis-du-Rhône</t>
  </si>
  <si>
    <t xml:space="preserve">hub 50 m ASL; tips 77 m; Vestas-class, mast 48 m + blades 26 m</t>
  </si>
  <si>
    <t xml:space="preserve">Notre-Dame de la Garde (statue top)</t>
  </si>
  <si>
    <t xml:space="preserve">hill 149–154 m; tower 41 m + belfry + statue 11.2 m; only upper tower/statue visible — measured 6 px spike in pano</t>
  </si>
  <si>
    <t xml:space="preserve">Super Rouvière building B (roof)</t>
  </si>
  <si>
    <t xml:space="preserve">CORRECTED: complex center 43.2538/5.4239 (Wikipédia Géoportail); SRTM ground ~145 m at slab SE edge + 80 m building -&gt; roof ~225 m; image shows ~30 px block-row (12 stairwell modules, sunlit W face) at back-projected azimuth, top few px above horizon -&gt; top floors VISIBLE</t>
  </si>
  <si>
    <t xml:space="preserve">Grande Tête Rouge</t>
  </si>
  <si>
    <t xml:space="preserve">Garlaban massif</t>
  </si>
  <si>
    <t xml:space="preserve">Pic du Taoumé</t>
  </si>
  <si>
    <t xml:space="preserve">coords approximate ±0.3 km</t>
  </si>
  <si>
    <t xml:space="preserve">Tête Ronde</t>
  </si>
  <si>
    <t xml:space="preserve">coords approximate</t>
  </si>
  <si>
    <t xml:space="preserve">Garlaban</t>
  </si>
  <si>
    <t xml:space="preserve">summit 53 px above sea horizon in pano — anchor of k fit</t>
  </si>
  <si>
    <t xml:space="preserve">Crête de la Lare (above Encanaux, Ste-Baume NW rim)</t>
  </si>
  <si>
    <t xml:space="preserve">CORRECTED: identified as the 845 m crest above Vallon des Encanaux (altituderando.com); label-line azimuth 69.65° lands on it at 278 km. Earlier ~598 m/~270 km entry was a misidentification.</t>
  </si>
  <si>
    <t xml:space="preserve">Mont Puget</t>
  </si>
  <si>
    <t xml:space="preserve">k-fit anchor (49.5 px)</t>
  </si>
  <si>
    <t xml:space="preserve">Ste-Victoire (Pic des Mouches)</t>
  </si>
  <si>
    <t xml:space="preserve">Mont Ventoux</t>
  </si>
  <si>
    <t xml:space="preserve">Cap Sicié</t>
  </si>
  <si>
    <t xml:space="preserve">NOT visible this evening (needs k≥0.19); author saw it next dawn under strong refraction</t>
  </si>
  <si>
    <t xml:space="preserve">Barre des Écrins</t>
  </si>
  <si>
    <t xml:space="preserve">Alps; ~412 km line of sight</t>
  </si>
  <si>
    <t xml:space="preserve">Chapelle Notre-Dame-de-Vie (Rocher de Vitrolles)</t>
  </si>
  <si>
    <t xml:space="preserve">Label line px 12761 matches geodesic az 64.447° (Δ15 px). Chapel 44 m below concealment line at k=0.126; needs k≥0.175. Leader line touches Plateau de l'Arbois rim (~250-280 m) behind it.</t>
  </si>
  <si>
    <t xml:space="preserve">Formulas: h = (D−√(2R′H))²/(2R′) with R′=R0/(1−k). k solved from pixel heights above the sea horizon (5.92″/px): NDG 6.0 px, Garlaban 53 px, Mont Puget 49.5 px, turbine tips 9.9 px → k=0.126, 1σ 0.118–0.134. Change cell B6 to explore other k values.</t>
  </si>
  <si>
    <t xml:space="preserve">Sources: beyondrange.wordpress.com (photo metadata); Wikipedia/IGN elevations; turbine specs Ville de Port-St-Louis. Coordinates of turbines supplied by user: 43°26'08.30"N 4°46'25.61"E.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</si>
</sst>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0"/>
    <col collapsed="false" customWidth="true" hidden="false" outlineLevel="0" max="4" min="4" style="1" width="12"/>
    <col collapsed="false" customWidth="true" hidden="false" outlineLevel="0" max="7" min="5" style="1" width="10"/>
    <col collapsed="false" customWidth="true" hidden="false" outlineLevel="0" max="9" min="8" style="1" width="14"/>
    <col collapsed="false" customWidth="true" hidden="false" outlineLevel="0" max="10" min="10" style="1" width="13"/>
    <col collapsed="false" customWidth="true" hidden="false" outlineLevel="0" max="11" min="11" style="1" width="26"/>
    <col collapsed="false" customWidth="true" hidden="false" outlineLevel="0" max="12" min="12" style="1" width="60"/>
  </cols>
  <sheetData>
    <row r="1" customFormat="false" ht="15.7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1" t="s">
        <v>2</v>
      </c>
      <c r="B4" s="4" t="n">
        <v>6371000</v>
      </c>
      <c r="D4" s="1" t="s">
        <v>3</v>
      </c>
    </row>
    <row r="5" customFormat="false" ht="15" hidden="false" customHeight="true" outlineLevel="0" collapsed="false">
      <c r="A5" s="1" t="s">
        <v>4</v>
      </c>
      <c r="B5" s="4" t="n">
        <v>2786.16</v>
      </c>
      <c r="D5" s="1" t="s">
        <v>5</v>
      </c>
    </row>
    <row r="6" customFormat="false" ht="15" hidden="false" customHeight="true" outlineLevel="0" collapsed="false">
      <c r="A6" s="1" t="s">
        <v>6</v>
      </c>
      <c r="B6" s="4" t="n">
        <v>0.126</v>
      </c>
      <c r="D6" s="1" t="s">
        <v>7</v>
      </c>
    </row>
    <row r="7" customFormat="false" ht="15" hidden="false" customHeight="true" outlineLevel="0" collapsed="false">
      <c r="A7" s="1" t="s">
        <v>8</v>
      </c>
      <c r="B7" s="5" t="n">
        <f aca="false">B4/(1-B6)</f>
        <v>7289473.68421053</v>
      </c>
    </row>
    <row r="8" customFormat="false" ht="15" hidden="false" customHeight="true" outlineLevel="0" collapsed="false">
      <c r="A8" s="1" t="s">
        <v>9</v>
      </c>
      <c r="B8" s="6" t="n">
        <f aca="false">SQRT(2*B7*B5)/1000</f>
        <v>201.542253634319</v>
      </c>
    </row>
    <row r="10" customFormat="false" ht="39" hidden="false" customHeight="true" outlineLevel="0" collapsed="false">
      <c r="A10" s="7" t="s">
        <v>10</v>
      </c>
      <c r="B10" s="7" t="s">
        <v>11</v>
      </c>
      <c r="C10" s="7" t="s">
        <v>12</v>
      </c>
      <c r="D10" s="7" t="s">
        <v>13</v>
      </c>
      <c r="E10" s="7" t="s">
        <v>14</v>
      </c>
      <c r="F10" s="7" t="s">
        <v>15</v>
      </c>
      <c r="G10" s="7" t="s">
        <v>16</v>
      </c>
      <c r="H10" s="7" t="s">
        <v>17</v>
      </c>
      <c r="I10" s="7" t="s">
        <v>18</v>
      </c>
      <c r="J10" s="7" t="s">
        <v>19</v>
      </c>
      <c r="K10" s="7" t="s">
        <v>20</v>
      </c>
      <c r="L10" s="7" t="s">
        <v>21</v>
      </c>
    </row>
    <row r="11" customFormat="false" ht="15" hidden="false" customHeight="true" outlineLevel="0" collapsed="false">
      <c r="A11" s="8" t="s">
        <v>22</v>
      </c>
      <c r="B11" s="9" t="n">
        <v>43.435639</v>
      </c>
      <c r="C11" s="9" t="n">
        <v>4.773781</v>
      </c>
      <c r="D11" s="10" t="n">
        <v>214.7</v>
      </c>
      <c r="E11" s="10" t="n">
        <v>60.9</v>
      </c>
      <c r="F11" s="11" t="n">
        <v>2</v>
      </c>
      <c r="G11" s="11" t="n">
        <v>77</v>
      </c>
      <c r="H11" s="12" t="n">
        <f aca="false">MAX(0,(D11*1000-SQRT(2*$B$7*$B$5))^2/(2*$B$7))</f>
        <v>11.8750884442183</v>
      </c>
      <c r="I11" s="12" t="n">
        <f aca="false">MAX(0,G11-H11)</f>
        <v>65.1249115557818</v>
      </c>
      <c r="J11" s="12" t="n">
        <f aca="false">MIN(G11-F11,MAX(0,H11-F11))</f>
        <v>9.87508844421826</v>
      </c>
      <c r="K11" s="9" t="str">
        <f aca="false">IF(I11&gt;0,"VISIBLE — top "&amp;TEXT(I11,"0")&amp;" m shows","HIDDEN")</f>
        <v>VISIBLE — top 65 m shows</v>
      </c>
      <c r="L11" s="9" t="s">
        <v>23</v>
      </c>
    </row>
    <row r="12" customFormat="false" ht="15" hidden="false" customHeight="true" outlineLevel="0" collapsed="false">
      <c r="A12" s="8" t="s">
        <v>24</v>
      </c>
      <c r="B12" s="9" t="n">
        <v>43.28405</v>
      </c>
      <c r="C12" s="9" t="n">
        <v>5.37131</v>
      </c>
      <c r="D12" s="10" t="n">
        <v>252.7</v>
      </c>
      <c r="E12" s="10" t="n">
        <v>69.4</v>
      </c>
      <c r="F12" s="11" t="n">
        <v>154</v>
      </c>
      <c r="G12" s="11" t="n">
        <v>224</v>
      </c>
      <c r="H12" s="12" t="n">
        <f aca="false">MAX(0,(D12*1000-SQRT(2*$B$7*$B$5))^2/(2*$B$7))</f>
        <v>179.513304155568</v>
      </c>
      <c r="I12" s="12" t="n">
        <f aca="false">MAX(0,G12-H12)</f>
        <v>44.4866958444316</v>
      </c>
      <c r="J12" s="12" t="n">
        <f aca="false">MIN(G12-F12,MAX(0,H12-F12))</f>
        <v>25.5133041555684</v>
      </c>
      <c r="K12" s="9" t="str">
        <f aca="false">IF(I12&gt;0,"VISIBLE — top "&amp;TEXT(I12,"0")&amp;" m shows","HIDDEN")</f>
        <v>VISIBLE — top 44 m shows</v>
      </c>
      <c r="L12" s="9" t="s">
        <v>25</v>
      </c>
    </row>
    <row r="13" customFormat="false" ht="15" hidden="false" customHeight="true" outlineLevel="0" collapsed="false">
      <c r="A13" s="8" t="s">
        <v>26</v>
      </c>
      <c r="B13" s="9" t="n">
        <v>43.2515</v>
      </c>
      <c r="C13" s="9" t="n">
        <v>5.4245</v>
      </c>
      <c r="D13" s="10" t="n">
        <v>255.7</v>
      </c>
      <c r="E13" s="10" t="n">
        <v>70.4</v>
      </c>
      <c r="F13" s="11" t="n">
        <v>145</v>
      </c>
      <c r="G13" s="11" t="n">
        <v>225</v>
      </c>
      <c r="H13" s="12" t="n">
        <f aca="false">MAX(0,(D13*1000-SQRT(2*$B$7*$B$5))^2/(2*$B$7))</f>
        <v>201.184723237473</v>
      </c>
      <c r="I13" s="12" t="n">
        <f aca="false">MAX(0,G13-H13)</f>
        <v>23.8152767625266</v>
      </c>
      <c r="J13" s="12" t="n">
        <f aca="false">MIN(G13-F13,MAX(0,H13-F13))</f>
        <v>56.1847232374734</v>
      </c>
      <c r="K13" s="9" t="str">
        <f aca="false">IF(I13&gt;0,"VISIBLE — top "&amp;TEXT(I13,"0")&amp;" m shows","HIDDEN")</f>
        <v>VISIBLE — top 24 m shows</v>
      </c>
      <c r="L13" s="9" t="s">
        <v>27</v>
      </c>
    </row>
    <row r="14" customFormat="false" ht="15" hidden="false" customHeight="true" outlineLevel="0" collapsed="false">
      <c r="A14" s="8" t="s">
        <v>28</v>
      </c>
      <c r="B14" s="9" t="n">
        <v>43.3372</v>
      </c>
      <c r="C14" s="9" t="n">
        <v>5.4948</v>
      </c>
      <c r="D14" s="10" t="n">
        <v>264.1</v>
      </c>
      <c r="E14" s="10" t="n">
        <v>68.8</v>
      </c>
      <c r="F14" s="11" t="n">
        <v>0</v>
      </c>
      <c r="G14" s="11" t="n">
        <v>520</v>
      </c>
      <c r="H14" s="12" t="n">
        <f aca="false">MAX(0,(D14*1000-SQRT(2*$B$7*$B$5))^2/(2*$B$7))</f>
        <v>268.433072118071</v>
      </c>
      <c r="I14" s="12" t="n">
        <f aca="false">MAX(0,G14-H14)</f>
        <v>251.566927881929</v>
      </c>
      <c r="J14" s="12" t="n">
        <f aca="false">MIN(G14-F14,MAX(0,H14-F14))</f>
        <v>268.433072118071</v>
      </c>
      <c r="K14" s="9" t="str">
        <f aca="false">IF(I14&gt;0,"VISIBLE — top "&amp;TEXT(I14,"0")&amp;" m shows","HIDDEN")</f>
        <v>VISIBLE — top 252 m shows</v>
      </c>
      <c r="L14" s="9" t="s">
        <v>29</v>
      </c>
    </row>
    <row r="15" customFormat="false" ht="15" hidden="false" customHeight="true" outlineLevel="0" collapsed="false">
      <c r="A15" s="8" t="s">
        <v>30</v>
      </c>
      <c r="B15" s="9" t="n">
        <v>43.345</v>
      </c>
      <c r="C15" s="9" t="n">
        <v>5.512</v>
      </c>
      <c r="D15" s="10" t="n">
        <v>265.7</v>
      </c>
      <c r="E15" s="10" t="n">
        <v>68.8</v>
      </c>
      <c r="F15" s="11" t="n">
        <v>0</v>
      </c>
      <c r="G15" s="11" t="n">
        <v>668</v>
      </c>
      <c r="H15" s="12" t="n">
        <f aca="false">MAX(0,(D15*1000-SQRT(2*$B$7*$B$5))^2/(2*$B$7))</f>
        <v>282.339754352849</v>
      </c>
      <c r="I15" s="12" t="n">
        <f aca="false">MAX(0,G15-H15)</f>
        <v>385.660245647151</v>
      </c>
      <c r="J15" s="12" t="n">
        <f aca="false">MIN(G15-F15,MAX(0,H15-F15))</f>
        <v>282.339754352849</v>
      </c>
      <c r="K15" s="9" t="str">
        <f aca="false">IF(I15&gt;0,"VISIBLE — top "&amp;TEXT(I15,"0")&amp;" m shows","HIDDEN")</f>
        <v>VISIBLE — top 386 m shows</v>
      </c>
      <c r="L15" s="9" t="s">
        <v>31</v>
      </c>
    </row>
    <row r="16" customFormat="false" ht="15" hidden="false" customHeight="true" outlineLevel="0" collapsed="false">
      <c r="A16" s="8" t="s">
        <v>32</v>
      </c>
      <c r="B16" s="9" t="n">
        <v>43.3352</v>
      </c>
      <c r="C16" s="9" t="n">
        <v>5.5347</v>
      </c>
      <c r="D16" s="10" t="n">
        <v>267.1</v>
      </c>
      <c r="E16" s="10" t="n">
        <v>69.1</v>
      </c>
      <c r="F16" s="11" t="n">
        <v>0</v>
      </c>
      <c r="G16" s="11" t="n">
        <v>638</v>
      </c>
      <c r="H16" s="12" t="n">
        <f aca="false">MAX(0,(D16*1000-SQRT(2*$B$7*$B$5))^2/(2*$B$7))</f>
        <v>294.796187950878</v>
      </c>
      <c r="I16" s="12" t="n">
        <f aca="false">MAX(0,G16-H16)</f>
        <v>343.203812049122</v>
      </c>
      <c r="J16" s="12" t="n">
        <f aca="false">MIN(G16-F16,MAX(0,H16-F16))</f>
        <v>294.796187950878</v>
      </c>
      <c r="K16" s="9" t="str">
        <f aca="false">IF(I16&gt;0,"VISIBLE — top "&amp;TEXT(I16,"0")&amp;" m shows","HIDDEN")</f>
        <v>VISIBLE — top 343 m shows</v>
      </c>
      <c r="L16" s="9" t="s">
        <v>33</v>
      </c>
    </row>
    <row r="17" customFormat="false" ht="15" hidden="false" customHeight="true" outlineLevel="0" collapsed="false">
      <c r="A17" s="8" t="s">
        <v>34</v>
      </c>
      <c r="B17" s="9" t="n">
        <v>43.3325</v>
      </c>
      <c r="C17" s="9" t="n">
        <v>5.5497</v>
      </c>
      <c r="D17" s="10" t="n">
        <v>268.2</v>
      </c>
      <c r="E17" s="10" t="n">
        <v>69.3</v>
      </c>
      <c r="F17" s="11" t="n">
        <v>0</v>
      </c>
      <c r="G17" s="11" t="n">
        <v>714</v>
      </c>
      <c r="H17" s="12" t="n">
        <f aca="false">MAX(0,(D17*1000-SQRT(2*$B$7*$B$5))^2/(2*$B$7))</f>
        <v>304.772013936747</v>
      </c>
      <c r="I17" s="12" t="n">
        <f aca="false">MAX(0,G17-H17)</f>
        <v>409.227986063253</v>
      </c>
      <c r="J17" s="12" t="n">
        <f aca="false">MIN(G17-F17,MAX(0,H17-F17))</f>
        <v>304.772013936747</v>
      </c>
      <c r="K17" s="9" t="str">
        <f aca="false">IF(I17&gt;0,"VISIBLE — top "&amp;TEXT(I17,"0")&amp;" m shows","HIDDEN")</f>
        <v>VISIBLE — top 409 m shows</v>
      </c>
      <c r="L17" s="9" t="s">
        <v>35</v>
      </c>
    </row>
    <row r="18" customFormat="false" ht="15" hidden="false" customHeight="true" outlineLevel="0" collapsed="false">
      <c r="A18" s="8" t="s">
        <v>36</v>
      </c>
      <c r="B18" s="9" t="n">
        <v>43.346</v>
      </c>
      <c r="C18" s="9" t="n">
        <v>5.674</v>
      </c>
      <c r="D18" s="10" t="n">
        <v>278.2</v>
      </c>
      <c r="E18" s="10" t="n">
        <v>69.6</v>
      </c>
      <c r="F18" s="11" t="n">
        <v>0</v>
      </c>
      <c r="G18" s="11" t="n">
        <v>845</v>
      </c>
      <c r="H18" s="12" t="n">
        <f aca="false">MAX(0,(D18*1000-SQRT(2*$B$7*$B$5))^2/(2*$B$7))</f>
        <v>403.075059492555</v>
      </c>
      <c r="I18" s="12" t="n">
        <f aca="false">MAX(0,G18-H18)</f>
        <v>441.924940507445</v>
      </c>
      <c r="J18" s="12" t="n">
        <f aca="false">MIN(G18-F18,MAX(0,H18-F18))</f>
        <v>403.075059492555</v>
      </c>
      <c r="K18" s="9" t="str">
        <f aca="false">IF(I18&gt;0,"VISIBLE — top "&amp;TEXT(I18,"0")&amp;" m shows","HIDDEN")</f>
        <v>VISIBLE — top 442 m shows</v>
      </c>
      <c r="L18" s="9" t="s">
        <v>37</v>
      </c>
    </row>
    <row r="19" customFormat="false" ht="15" hidden="false" customHeight="true" outlineLevel="0" collapsed="false">
      <c r="A19" s="8" t="s">
        <v>38</v>
      </c>
      <c r="B19" s="9" t="n">
        <v>43.217</v>
      </c>
      <c r="C19" s="9" t="n">
        <v>5.447</v>
      </c>
      <c r="D19" s="10" t="n">
        <v>256.4</v>
      </c>
      <c r="E19" s="10" t="n">
        <v>71.4</v>
      </c>
      <c r="F19" s="11" t="n">
        <v>0</v>
      </c>
      <c r="G19" s="11" t="n">
        <v>565</v>
      </c>
      <c r="H19" s="12" t="n">
        <f aca="false">MAX(0,(D19*1000-SQRT(2*$B$7*$B$5))^2/(2*$B$7))</f>
        <v>206.419041119521</v>
      </c>
      <c r="I19" s="12" t="n">
        <f aca="false">MAX(0,G19-H19)</f>
        <v>358.580958880479</v>
      </c>
      <c r="J19" s="12" t="n">
        <f aca="false">MIN(G19-F19,MAX(0,H19-F19))</f>
        <v>206.419041119521</v>
      </c>
      <c r="K19" s="9" t="str">
        <f aca="false">IF(I19&gt;0,"VISIBLE — top "&amp;TEXT(I19,"0")&amp;" m shows","HIDDEN")</f>
        <v>VISIBLE — top 359 m shows</v>
      </c>
      <c r="L19" s="9" t="s">
        <v>39</v>
      </c>
    </row>
    <row r="20" customFormat="false" ht="15" hidden="false" customHeight="true" outlineLevel="0" collapsed="false">
      <c r="A20" s="8" t="s">
        <v>40</v>
      </c>
      <c r="B20" s="9" t="n">
        <v>43.5411</v>
      </c>
      <c r="C20" s="9" t="n">
        <v>5.6597</v>
      </c>
      <c r="D20" s="10" t="n">
        <v>284.7</v>
      </c>
      <c r="E20" s="10" t="n">
        <v>65.4</v>
      </c>
      <c r="F20" s="11" t="n">
        <v>0</v>
      </c>
      <c r="G20" s="11" t="n">
        <v>1011</v>
      </c>
      <c r="H20" s="12" t="n">
        <f aca="false">MAX(0,(D20*1000-SQRT(2*$B$7*$B$5))^2/(2*$B$7))</f>
        <v>474.328537298776</v>
      </c>
      <c r="I20" s="12" t="n">
        <f aca="false">MAX(0,G20-H20)</f>
        <v>536.671462701224</v>
      </c>
      <c r="J20" s="12" t="n">
        <f aca="false">MIN(G20-F20,MAX(0,H20-F20))</f>
        <v>474.328537298776</v>
      </c>
      <c r="K20" s="9" t="str">
        <f aca="false">IF(I20&gt;0,"VISIBLE — top "&amp;TEXT(I20,"0")&amp;" m shows","HIDDEN")</f>
        <v>VISIBLE — top 537 m shows</v>
      </c>
      <c r="L20" s="9"/>
    </row>
    <row r="21" customFormat="false" ht="15" hidden="false" customHeight="true" outlineLevel="0" collapsed="false">
      <c r="A21" s="8" t="s">
        <v>41</v>
      </c>
      <c r="B21" s="9" t="n">
        <v>44.1741</v>
      </c>
      <c r="C21" s="9" t="n">
        <v>5.2786</v>
      </c>
      <c r="D21" s="10" t="n">
        <v>293.5</v>
      </c>
      <c r="E21" s="10" t="n">
        <v>50.3</v>
      </c>
      <c r="F21" s="11" t="n">
        <v>0</v>
      </c>
      <c r="G21" s="11" t="n">
        <v>1910</v>
      </c>
      <c r="H21" s="12" t="n">
        <f aca="false">MAX(0,(D21*1000-SQRT(2*$B$7*$B$5))^2/(2*$B$7))</f>
        <v>580.030018831931</v>
      </c>
      <c r="I21" s="12" t="n">
        <f aca="false">MAX(0,G21-H21)</f>
        <v>1329.96998116807</v>
      </c>
      <c r="J21" s="12" t="n">
        <f aca="false">MIN(G21-F21,MAX(0,H21-F21))</f>
        <v>580.030018831931</v>
      </c>
      <c r="K21" s="9" t="str">
        <f aca="false">IF(I21&gt;0,"VISIBLE — top "&amp;TEXT(I21,"0")&amp;" m shows","HIDDEN")</f>
        <v>VISIBLE — top 1330 m shows</v>
      </c>
      <c r="L21" s="9"/>
    </row>
    <row r="22" customFormat="false" ht="15" hidden="false" customHeight="true" outlineLevel="0" collapsed="false">
      <c r="A22" s="8" t="s">
        <v>42</v>
      </c>
      <c r="B22" s="9" t="n">
        <v>43.0644</v>
      </c>
      <c r="C22" s="9" t="n">
        <v>5.8514</v>
      </c>
      <c r="D22" s="10" t="n">
        <v>284.3</v>
      </c>
      <c r="E22" s="10" t="n">
        <v>76.5</v>
      </c>
      <c r="F22" s="11" t="n">
        <v>0</v>
      </c>
      <c r="G22" s="11" t="n">
        <v>358</v>
      </c>
      <c r="H22" s="12" t="n">
        <f aca="false">MAX(0,(D22*1000-SQRT(2*$B$7*$B$5))^2/(2*$B$7))</f>
        <v>469.776343274378</v>
      </c>
      <c r="I22" s="12" t="n">
        <f aca="false">MAX(0,G22-H22)</f>
        <v>0</v>
      </c>
      <c r="J22" s="12" t="n">
        <f aca="false">MIN(G22-F22,MAX(0,H22-F22))</f>
        <v>358</v>
      </c>
      <c r="K22" s="9" t="str">
        <f aca="false">IF(I22&gt;0,"VISIBLE — top "&amp;TEXT(I22,"0")&amp;" m shows","HIDDEN")</f>
        <v>HIDDEN</v>
      </c>
      <c r="L22" s="9" t="s">
        <v>43</v>
      </c>
    </row>
    <row r="23" customFormat="false" ht="15" hidden="false" customHeight="true" outlineLevel="0" collapsed="false">
      <c r="A23" s="8" t="s">
        <v>44</v>
      </c>
      <c r="B23" s="9" t="n">
        <v>44.9239</v>
      </c>
      <c r="C23" s="9" t="n">
        <v>6.3597</v>
      </c>
      <c r="D23" s="10" t="n">
        <v>412.6</v>
      </c>
      <c r="E23" s="10" t="n">
        <v>48.3</v>
      </c>
      <c r="F23" s="11" t="n">
        <v>0</v>
      </c>
      <c r="G23" s="11" t="n">
        <v>4102</v>
      </c>
      <c r="H23" s="12" t="n">
        <f aca="false">MAX(0,(D23*1000-SQRT(2*$B$7*$B$5))^2/(2*$B$7))</f>
        <v>3055.45874988536</v>
      </c>
      <c r="I23" s="12" t="n">
        <f aca="false">MAX(0,G23-H23)</f>
        <v>1046.54125011464</v>
      </c>
      <c r="J23" s="12" t="n">
        <f aca="false">MIN(G23-F23,MAX(0,H23-F23))</f>
        <v>3055.45874988536</v>
      </c>
      <c r="K23" s="9" t="str">
        <f aca="false">IF(I23&gt;0,"VISIBLE — top "&amp;TEXT(I23,"0")&amp;" m shows","HIDDEN")</f>
        <v>VISIBLE — top 1047 m shows</v>
      </c>
      <c r="L23" s="9" t="s">
        <v>45</v>
      </c>
    </row>
    <row r="24" customFormat="false" ht="15" hidden="false" customHeight="true" outlineLevel="0" collapsed="false">
      <c r="A24" s="8" t="s">
        <v>46</v>
      </c>
      <c r="B24" s="9" t="n">
        <v>43.4576</v>
      </c>
      <c r="C24" s="9" t="n">
        <v>5.2478</v>
      </c>
      <c r="D24" s="10" t="n">
        <v>250.4</v>
      </c>
      <c r="E24" s="10" t="n">
        <v>64.4</v>
      </c>
      <c r="F24" s="11" t="n">
        <v>111</v>
      </c>
      <c r="G24" s="11" t="n">
        <v>119</v>
      </c>
      <c r="H24" s="12" t="n">
        <f aca="false">MAX(0,(D24*1000-SQRT(2*$B$7*$B$5))^2/(2*$B$7))</f>
        <v>163.734686710223</v>
      </c>
      <c r="I24" s="12" t="n">
        <f aca="false">MAX(0,G24-H24)</f>
        <v>0</v>
      </c>
      <c r="J24" s="12" t="n">
        <f aca="false">MIN(G24-F24,MAX(0,H24-F24))</f>
        <v>8</v>
      </c>
      <c r="K24" s="9" t="str">
        <f aca="false">IF(I24&gt;0,"VISIBLE — top "&amp;TEXT(I24,"0")&amp;" m shows","HIDDEN")</f>
        <v>HIDDEN</v>
      </c>
      <c r="L24" s="9" t="s">
        <v>47</v>
      </c>
    </row>
    <row r="26" customFormat="false" ht="15" hidden="false" customHeight="true" outlineLevel="0" collapsed="false"/>
    <row r="27" customFormat="false" ht="15" hidden="false" customHeight="true" outlineLevel="0" collapsed="false">
      <c r="A27" s="13" t="s">
        <v>48</v>
      </c>
    </row>
    <row r="28" customFormat="false" ht="15" hidden="false" customHeight="true" outlineLevel="0" collapsed="false">
      <c r="A28" s="13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2026-07-05T18:20:13Z</dcterms:created>
  <dc:creator>openpyxl</dc:creator>
  <dc:description/>
  <dc:language>en-US</dc:language>
  <cp:lastModifiedBy/>
  <dcterms:modified xsi:type="dcterms:W3CDTF">2026-07-05T19:07:51Z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